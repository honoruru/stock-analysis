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 House\Bootcamp\VBA\VBA Challenge\from gmail\"/>
    </mc:Choice>
  </mc:AlternateContent>
  <xr:revisionPtr revIDLastSave="0" documentId="13_ncr:1_{5B18D690-183C-4B91-A01B-A97155FD369F}" xr6:coauthVersionLast="47" xr6:coauthVersionMax="47" xr10:uidLastSave="{00000000-0000-0000-0000-000000000000}"/>
  <bookViews>
    <workbookView xWindow="-120" yWindow="-120" windowWidth="29040" windowHeight="154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Practice Loops" sheetId="6" r:id="rId5"/>
    <sheet name="Practice Format" sheetId="7" r:id="rId6"/>
    <sheet name="Comparisons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3" i="8" l="1"/>
  <c r="G32" i="8"/>
  <c r="F33" i="8"/>
  <c r="F32" i="8"/>
  <c r="E32" i="8"/>
  <c r="E28" i="8"/>
  <c r="D68" i="8"/>
  <c r="E68" i="8" s="1"/>
  <c r="D67" i="8"/>
  <c r="E67" i="8" s="1"/>
  <c r="E64" i="8"/>
  <c r="F64" i="8" s="1"/>
  <c r="E63" i="8"/>
  <c r="F63" i="8" s="1"/>
  <c r="E62" i="8"/>
  <c r="F62" i="8" s="1"/>
  <c r="E61" i="8"/>
  <c r="F61" i="8" s="1"/>
  <c r="E60" i="8"/>
  <c r="F60" i="8" s="1"/>
  <c r="E59" i="8"/>
  <c r="F59" i="8" s="1"/>
  <c r="E58" i="8"/>
  <c r="F58" i="8" s="1"/>
  <c r="E57" i="8"/>
  <c r="F57" i="8" s="1"/>
  <c r="E56" i="8"/>
  <c r="F56" i="8" s="1"/>
  <c r="E55" i="8"/>
  <c r="F55" i="8" s="1"/>
  <c r="E54" i="8"/>
  <c r="F54" i="8" s="1"/>
  <c r="E53" i="8"/>
  <c r="F53" i="8" s="1"/>
  <c r="E19" i="8"/>
  <c r="E24" i="8"/>
  <c r="E25" i="8"/>
  <c r="E26" i="8"/>
  <c r="E27" i="8"/>
  <c r="D19" i="8"/>
  <c r="D20" i="8"/>
  <c r="E20" i="8" s="1"/>
  <c r="D21" i="8"/>
  <c r="E21" i="8" s="1"/>
  <c r="D22" i="8"/>
  <c r="E22" i="8" s="1"/>
  <c r="D23" i="8"/>
  <c r="E23" i="8" s="1"/>
  <c r="D24" i="8"/>
  <c r="D25" i="8"/>
  <c r="D26" i="8"/>
  <c r="D27" i="8"/>
  <c r="D28" i="8"/>
  <c r="D29" i="8"/>
  <c r="E29" i="8" s="1"/>
  <c r="D18" i="8"/>
  <c r="E18" i="8" s="1"/>
  <c r="E9" i="8" l="1"/>
  <c r="E10" i="8"/>
  <c r="E11" i="8"/>
  <c r="D15" i="8"/>
  <c r="E15" i="8" s="1"/>
  <c r="D14" i="8"/>
  <c r="E14" i="8" s="1"/>
  <c r="D13" i="8"/>
  <c r="E13" i="8" s="1"/>
  <c r="D12" i="8"/>
  <c r="E12" i="8" s="1"/>
  <c r="D11" i="8"/>
  <c r="D10" i="8"/>
  <c r="D9" i="8"/>
  <c r="D8" i="8"/>
  <c r="E8" i="8" s="1"/>
  <c r="D7" i="8"/>
  <c r="E7" i="8" s="1"/>
  <c r="D6" i="8"/>
  <c r="E6" i="8" s="1"/>
  <c r="D5" i="8"/>
  <c r="E5" i="8" s="1"/>
  <c r="D4" i="8"/>
  <c r="E4" i="8" s="1"/>
  <c r="D33" i="8"/>
  <c r="E33" i="8" s="1"/>
  <c r="D32" i="8"/>
</calcChain>
</file>

<file path=xl/sharedStrings.xml><?xml version="1.0" encoding="utf-8"?>
<sst xmlns="http://schemas.openxmlformats.org/spreadsheetml/2006/main" count="12152" uniqueCount="535">
  <si>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</si>
  <si>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</si>
  <si>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</si>
  <si>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</si>
  <si>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</si>
  <si>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</si>
  <si>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</si>
  <si>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</si>
  <si>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</si>
  <si>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</si>
  <si>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</si>
  <si>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</si>
  <si>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</si>
  <si>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</si>
  <si>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</si>
  <si>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</si>
  <si>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</si>
  <si>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</si>
  <si>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</si>
  <si>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</si>
  <si>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</si>
  <si>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</si>
  <si>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</si>
  <si>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</si>
  <si>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</si>
  <si>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</si>
  <si>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</si>
  <si>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</si>
  <si>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</si>
  <si>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</si>
  <si>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</si>
  <si>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</si>
  <si>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</si>
  <si>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</si>
  <si>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</si>
  <si>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</si>
  <si>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</si>
  <si>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</si>
  <si>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</si>
  <si>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</si>
  <si>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</si>
  <si>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</si>
  <si>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</si>
  <si>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</si>
  <si>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</si>
  <si>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</si>
  <si>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</si>
  <si>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</si>
  <si>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</si>
  <si>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</si>
  <si>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</si>
  <si>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</si>
  <si>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</si>
  <si>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</si>
  <si>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</si>
  <si>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</si>
  <si>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</si>
  <si>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</si>
  <si>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</si>
  <si>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</si>
  <si>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</si>
  <si>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</si>
  <si>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</si>
  <si>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</si>
  <si>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</si>
  <si>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</si>
  <si>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</si>
  <si>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</si>
  <si>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</si>
  <si>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</si>
  <si>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</si>
  <si>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</si>
  <si>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</si>
  <si>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</si>
  <si>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</si>
  <si>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</si>
  <si>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</si>
  <si>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</si>
  <si>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</si>
  <si>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</si>
  <si>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</si>
  <si>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</si>
  <si>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</si>
  <si>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</si>
  <si>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</si>
  <si>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</si>
  <si>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</si>
  <si>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</si>
  <si>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</si>
  <si>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</si>
  <si>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</si>
  <si>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</si>
  <si>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</si>
  <si>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</si>
  <si>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</si>
  <si>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</si>
  <si>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</si>
  <si>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</si>
  <si>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</si>
  <si>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</si>
  <si>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</si>
  <si>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</si>
  <si>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</si>
  <si>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</si>
  <si>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</si>
  <si>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</si>
  <si>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</si>
  <si>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</si>
  <si>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</si>
  <si>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</si>
  <si>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</si>
  <si>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</si>
  <si>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</si>
  <si>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</si>
  <si>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</si>
  <si>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</si>
  <si>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</si>
  <si>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</si>
  <si>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</si>
  <si>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</si>
  <si>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</si>
  <si>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</si>
  <si>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</si>
  <si>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</si>
  <si>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</si>
  <si>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</si>
  <si>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</si>
  <si>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</si>
  <si>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</si>
  <si>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</si>
  <si>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</si>
  <si>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</si>
  <si>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</si>
  <si>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</si>
  <si>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</si>
  <si>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</si>
  <si>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</si>
  <si>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</si>
  <si>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</si>
  <si>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</si>
  <si>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</si>
  <si>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</si>
  <si>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</si>
  <si>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</si>
  <si>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</si>
  <si>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</si>
  <si>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</si>
  <si>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</si>
  <si>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</si>
  <si>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</si>
  <si>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</si>
  <si>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</si>
  <si>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</si>
  <si>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</si>
  <si>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</si>
  <si>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</si>
  <si>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</si>
  <si>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</si>
  <si>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</si>
  <si>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</si>
  <si>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</si>
  <si>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</si>
  <si>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</si>
  <si>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</si>
  <si>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</si>
  <si>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</si>
  <si>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</si>
  <si>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</si>
  <si>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</si>
  <si>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</si>
  <si>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</si>
  <si>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</si>
  <si>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</si>
  <si>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</si>
  <si>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</si>
  <si>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</si>
  <si>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</si>
  <si>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</si>
  <si>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</si>
  <si>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</si>
  <si>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</si>
  <si>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</si>
  <si>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</si>
  <si>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</si>
  <si>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</si>
  <si>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</si>
  <si>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</si>
  <si>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</si>
  <si>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</si>
  <si>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</si>
  <si>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</si>
  <si>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</si>
  <si>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</si>
  <si>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</si>
  <si>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</si>
  <si>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</si>
  <si>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</si>
  <si>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</si>
  <si>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</si>
  <si>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</si>
  <si>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</si>
  <si>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</si>
  <si>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</si>
  <si>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</si>
  <si>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</si>
  <si>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</si>
  <si>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</si>
  <si>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</si>
  <si>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</si>
  <si>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</si>
  <si>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</si>
  <si>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</si>
  <si>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</si>
  <si>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</si>
  <si>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</si>
  <si>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</si>
  <si>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</si>
  <si>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</si>
  <si>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</si>
  <si>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</si>
  <si>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</si>
  <si>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</si>
  <si>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</si>
  <si>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</si>
  <si>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</si>
  <si>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</si>
  <si>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</si>
  <si>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</si>
  <si>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</si>
  <si>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</si>
  <si>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</si>
  <si>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</si>
  <si>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</si>
  <si>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</si>
  <si>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</si>
  <si>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</si>
  <si>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</si>
  <si>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</si>
  <si>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</si>
  <si>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</si>
  <si>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</si>
  <si>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</si>
  <si>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</si>
  <si>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</si>
  <si>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</si>
  <si>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</si>
  <si>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</si>
  <si>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</si>
  <si>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</si>
  <si>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</si>
  <si>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</si>
  <si>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</si>
  <si>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</si>
  <si>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</si>
  <si>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</si>
  <si>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</si>
  <si>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</si>
  <si>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</si>
  <si>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</si>
  <si>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</si>
  <si>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</si>
  <si>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</si>
  <si>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</si>
  <si>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</si>
  <si>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</si>
  <si>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</si>
  <si>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</si>
  <si>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</si>
  <si>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</si>
  <si>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</si>
  <si>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</si>
  <si>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</si>
  <si>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</si>
  <si>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</si>
  <si>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</si>
  <si>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</si>
  <si>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</si>
  <si>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</si>
  <si>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</si>
  <si>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</si>
  <si>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</si>
  <si>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</si>
  <si>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</si>
  <si>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</si>
  <si>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</si>
  <si>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</si>
  <si>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</si>
  <si>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</si>
  <si>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</si>
  <si>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</si>
  <si>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</si>
  <si>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</si>
  <si>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</si>
  <si>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</si>
  <si>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</si>
  <si>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</si>
  <si>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</si>
  <si>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</si>
  <si>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</si>
  <si>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</si>
  <si>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</si>
  <si>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</si>
  <si>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</si>
  <si>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</si>
  <si>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</si>
  <si>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</si>
  <si>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</si>
  <si>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</si>
  <si>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</si>
  <si>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</si>
  <si>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</si>
  <si>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</si>
  <si>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</si>
  <si>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</si>
  <si>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</si>
  <si>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</si>
  <si>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</si>
  <si>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</si>
  <si>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</si>
  <si>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</si>
  <si>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</si>
  <si>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</si>
  <si>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</si>
  <si>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</si>
  <si>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</si>
  <si>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</si>
  <si>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</si>
  <si>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</si>
  <si>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</si>
  <si>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</si>
  <si>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</si>
  <si>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</si>
  <si>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</si>
  <si>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</si>
  <si>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</si>
  <si>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</si>
  <si>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</si>
  <si>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</si>
  <si>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</si>
  <si>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</si>
  <si>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</si>
  <si>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</si>
  <si>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</si>
  <si>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</si>
  <si>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</si>
  <si>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</si>
  <si>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</si>
  <si>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</si>
  <si>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</si>
  <si>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</si>
  <si>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</si>
  <si>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</si>
  <si>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</si>
  <si>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</si>
  <si>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</si>
  <si>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</si>
  <si>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</si>
  <si>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</si>
  <si>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</si>
  <si>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</si>
  <si>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</si>
  <si>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</si>
  <si>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</si>
  <si>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</si>
  <si>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</si>
  <si>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</si>
  <si>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</si>
  <si>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</si>
  <si>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</si>
  <si>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</si>
  <si>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</si>
  <si>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</si>
  <si>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</si>
  <si>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</si>
  <si>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</si>
  <si>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</si>
  <si>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</si>
  <si>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</si>
  <si>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</si>
  <si>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</si>
  <si>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</si>
  <si>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</si>
  <si>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</si>
  <si>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</si>
  <si>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</si>
  <si>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</si>
  <si>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</si>
  <si>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</si>
  <si>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</si>
  <si>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</si>
  <si>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</si>
  <si>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</si>
  <si>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</si>
  <si>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</si>
  <si>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</si>
  <si>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</si>
  <si>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</si>
  <si>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</si>
  <si>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</si>
  <si>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</si>
  <si>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</si>
  <si>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</si>
  <si>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</si>
  <si>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</si>
  <si>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</si>
  <si>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</si>
  <si>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</si>
  <si>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</si>
  <si>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</si>
  <si>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</si>
  <si>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</si>
  <si>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</si>
  <si>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</si>
  <si>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</si>
  <si>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</si>
  <si>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</si>
  <si>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</si>
  <si>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</si>
  <si>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</si>
  <si>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</si>
  <si>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</si>
  <si>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</si>
  <si>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</si>
  <si>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</si>
  <si>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</si>
  <si>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</si>
  <si>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</si>
  <si>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</si>
  <si>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</si>
  <si>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</si>
  <si>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</si>
  <si>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</si>
  <si>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</si>
  <si>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</si>
  <si>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</si>
  <si>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</si>
  <si>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</si>
  <si>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</si>
  <si>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</si>
  <si>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</si>
  <si>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</si>
  <si>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</si>
  <si>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</si>
  <si>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</si>
  <si>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</si>
  <si>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</si>
  <si>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</si>
  <si>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</si>
  <si>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</si>
  <si>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</si>
  <si>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</si>
  <si>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</si>
  <si>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</si>
  <si>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</si>
  <si>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</si>
  <si>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</si>
  <si>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</si>
  <si>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</si>
  <si>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</si>
  <si>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</si>
  <si>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</si>
  <si>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</si>
  <si>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</si>
  <si>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</si>
  <si>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</si>
  <si>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</si>
  <si>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</si>
  <si>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</si>
  <si>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</si>
  <si>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</si>
  <si>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</si>
  <si>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</si>
  <si>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</si>
  <si>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</si>
  <si>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</si>
  <si>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</si>
  <si>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</si>
  <si>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</si>
  <si>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</si>
  <si>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</si>
  <si>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</si>
  <si>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</si>
  <si>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</si>
  <si>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</si>
  <si>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</si>
  <si>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</si>
  <si>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</si>
  <si>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</si>
  <si>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</si>
  <si>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</si>
  <si>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</si>
  <si>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</si>
  <si>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</si>
  <si>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</si>
  <si>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</si>
  <si>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</si>
  <si>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</si>
  <si>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</si>
  <si>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</si>
  <si>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</si>
  <si>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</si>
  <si>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</si>
  <si>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</si>
  <si>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</si>
  <si>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</si>
  <si>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</si>
  <si>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</si>
  <si>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</si>
  <si>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</si>
  <si>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</si>
  <si>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</si>
  <si>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</si>
  <si>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</si>
  <si>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</si>
  <si>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</si>
  <si>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</si>
  <si>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</si>
  <si>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</si>
  <si>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</si>
  <si>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</si>
  <si>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</si>
  <si>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</si>
  <si>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</si>
  <si>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</si>
  <si>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</si>
  <si>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Daily Volume</t>
  </si>
  <si>
    <t>Total Daily Volume</t>
  </si>
  <si>
    <t>All Stocks (2018)</t>
  </si>
  <si>
    <t>Stock Performance</t>
  </si>
  <si>
    <t>Timer</t>
  </si>
  <si>
    <t>Original</t>
  </si>
  <si>
    <t>Refactored</t>
  </si>
  <si>
    <t>**************************************************************</t>
  </si>
  <si>
    <t>% Change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</si>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</sst>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0.000"/>
    <numFmt numFmtId="166" formatCode="&quot;$&quot;#,##0.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0" borderId="0" xfId="1" applyNumberFormat="1" applyFont="1"/>
    <xf numFmtId="0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1" applyNumberFormat="1" applyFont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43" fontId="0" fillId="0" borderId="0" xfId="2" applyFont="1"/>
    <xf numFmtId="2" fontId="0" fillId="0" borderId="0" xfId="0" applyNumberFormat="1"/>
  </cellXfs>
  <cellStyles count="3">
    <cellStyle name="Comma" xfId="2" builtinId="3"/>
    <cellStyle name="Normal" xfId="0" builtinId="0"/>
    <cellStyle name="Percent" xfId="1" builtinId="5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Trading</a:t>
            </a:r>
            <a:r>
              <a:rPr lang="en-US" baseline="0"/>
              <a:t> Volume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Comparisons!$B$3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Comparisons!$A$4:$A$15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Comparisons!$B$4:$B$15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9-4856-9AD2-18817988D27E}"/>
            </c:ext>
          </c:extLst>
        </c:ser>
        <c:ser>
          <c:idx val="1"/>
          <c:order val="1"/>
          <c:tx>
            <c:strRef>
              <c:f>Comparisons!$C$3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/>
              </a:solidFill>
            </a:ln>
            <a:effectLst/>
          </c:spPr>
          <c:invertIfNegative val="0"/>
          <c:cat>
            <c:strRef>
              <c:f>Comparisons!$A$4:$A$15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Comparisons!$C$4:$C$15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9-4856-9AD2-18817988D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503040"/>
        <c:axId val="361502624"/>
      </c:barChart>
      <c:catAx>
        <c:axId val="361503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TICKER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02624"/>
        <c:crosses val="autoZero"/>
        <c:auto val="1"/>
        <c:lblAlgn val="ctr"/>
        <c:lblOffset val="100"/>
        <c:noMultiLvlLbl val="0"/>
      </c:catAx>
      <c:valAx>
        <c:axId val="36150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V0LUME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0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Comparisons!$B$17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Comparisons!$A$18:$A$29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Comparisons!$B$18:$B$29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3-44BA-9143-C46BF4B8E5F8}"/>
            </c:ext>
          </c:extLst>
        </c:ser>
        <c:ser>
          <c:idx val="1"/>
          <c:order val="1"/>
          <c:tx>
            <c:strRef>
              <c:f>Comparisons!$C$17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Comparisons!$A$18:$A$29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Comparisons!$C$18:$C$29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3-44BA-9143-C46BF4B8E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9240672"/>
        <c:axId val="2119239424"/>
      </c:barChart>
      <c:catAx>
        <c:axId val="2119240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TICKER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239424"/>
        <c:crosses val="autoZero"/>
        <c:auto val="1"/>
        <c:lblAlgn val="ctr"/>
        <c:lblOffset val="100"/>
        <c:noMultiLvlLbl val="0"/>
      </c:catAx>
      <c:valAx>
        <c:axId val="21192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  <a:r>
                  <a:rPr lang="en-US" baseline="0"/>
                  <a:t>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2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Volume vs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2017 Volume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Comparisons!$A$39:$A$50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Comparisons!$B$39:$B$50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E-460A-BB91-E196F33C458C}"/>
            </c:ext>
          </c:extLst>
        </c:ser>
        <c:ser>
          <c:idx val="2"/>
          <c:order val="2"/>
          <c:tx>
            <c:v>2018 Volume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Comparisons!$A$39:$A$50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Comparisons!$D$39:$D$50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E-460A-BB91-E196F33C4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8126208"/>
        <c:axId val="2118126624"/>
      </c:barChart>
      <c:scatterChart>
        <c:scatterStyle val="lineMarker"/>
        <c:varyColors val="0"/>
        <c:ser>
          <c:idx val="1"/>
          <c:order val="1"/>
          <c:tx>
            <c:v>2017 Returns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2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Comparisons!$A$39:$A$50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Comparisons!$C$39:$C$50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E-460A-BB91-E196F33C458C}"/>
            </c:ext>
          </c:extLst>
        </c:ser>
        <c:ser>
          <c:idx val="3"/>
          <c:order val="3"/>
          <c:tx>
            <c:v>2018 Returns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2"/>
            <c:spPr>
              <a:solidFill>
                <a:schemeClr val="accent3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Comparisons!$A$39:$A$50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Comparisons!$E$39:$E$50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1E-460A-BB91-E196F33C4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69696"/>
        <c:axId val="514975104"/>
      </c:scatterChart>
      <c:catAx>
        <c:axId val="211812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TICKER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126624"/>
        <c:crosses val="autoZero"/>
        <c:auto val="1"/>
        <c:lblAlgn val="ctr"/>
        <c:lblOffset val="100"/>
        <c:noMultiLvlLbl val="0"/>
      </c:catAx>
      <c:valAx>
        <c:axId val="21181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8126208"/>
        <c:crosses val="autoZero"/>
        <c:crossBetween val="between"/>
      </c:valAx>
      <c:valAx>
        <c:axId val="5149751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69696"/>
        <c:crosses val="max"/>
        <c:crossBetween val="midCat"/>
      </c:valAx>
      <c:valAx>
        <c:axId val="514969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4975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</xdr:row>
          <xdr:rowOff>152400</xdr:rowOff>
        </xdr:from>
        <xdr:to>
          <xdr:col>9</xdr:col>
          <xdr:colOff>590550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7</xdr:row>
          <xdr:rowOff>95250</xdr:rowOff>
        </xdr:from>
        <xdr:to>
          <xdr:col>9</xdr:col>
          <xdr:colOff>552450</xdr:colOff>
          <xdr:row>10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5</xdr:row>
          <xdr:rowOff>38100</xdr:rowOff>
        </xdr:from>
        <xdr:to>
          <xdr:col>11</xdr:col>
          <xdr:colOff>142875</xdr:colOff>
          <xdr:row>7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10</xdr:row>
          <xdr:rowOff>19050</xdr:rowOff>
        </xdr:from>
        <xdr:to>
          <xdr:col>11</xdr:col>
          <xdr:colOff>257175</xdr:colOff>
          <xdr:row>12</xdr:row>
          <xdr:rowOff>123825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5</xdr:row>
          <xdr:rowOff>28575</xdr:rowOff>
        </xdr:from>
        <xdr:to>
          <xdr:col>16</xdr:col>
          <xdr:colOff>600075</xdr:colOff>
          <xdr:row>8</xdr:row>
          <xdr:rowOff>76200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(refactored)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1</xdr:row>
      <xdr:rowOff>28575</xdr:rowOff>
    </xdr:from>
    <xdr:to>
      <xdr:col>13</xdr:col>
      <xdr:colOff>238125</xdr:colOff>
      <xdr:row>15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52F03C-F44A-45C4-BD67-7521C040EFA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571500</xdr:colOff>
      <xdr:row>20</xdr:row>
      <xdr:rowOff>0</xdr:rowOff>
    </xdr:from>
    <xdr:to>
      <xdr:col>21</xdr:col>
      <xdr:colOff>266700</xdr:colOff>
      <xdr:row>34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C1A71E2-DC6F-4770-98AD-D9FEF619146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423863</xdr:colOff>
      <xdr:row>3</xdr:row>
      <xdr:rowOff>14287</xdr:rowOff>
    </xdr:from>
    <xdr:to>
      <xdr:col>21</xdr:col>
      <xdr:colOff>74911</xdr:colOff>
      <xdr:row>18</xdr:row>
      <xdr:rowOff>174307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E810B98-8183-48AE-8D81-AF4BED500FB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11" sqref="B11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7BB55-EF8C-47F9-9A1A-686EBD74C1D1}">
  <sheetPr codeName="Sheet3"/>
  <dimension ref="A1:C4"/>
  <sheetViews>
    <sheetView workbookViewId="0">
      <selection activeCell="G24" sqref="G2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524</v>
      </c>
    </row>
    <row r="3" spans="1:3" x14ac:dyDescent="0.25">
      <c r="A3" t="s">
        <v>522</v>
      </c>
      <c r="B3" t="s">
        <v>525</v>
      </c>
      <c r="C3" t="s">
        <v>523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>
                  <from>
                    <xdr:col>7</xdr:col>
                    <xdr:colOff>161925</xdr:colOff>
                    <xdr:row>2</xdr:row>
                    <xdr:rowOff>152400</xdr:rowOff>
                  </from>
                  <to>
                    <xdr:col>9</xdr:col>
                    <xdr:colOff>590550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>
                  <from>
                    <xdr:col>7</xdr:col>
                    <xdr:colOff>180975</xdr:colOff>
                    <xdr:row>7</xdr:row>
                    <xdr:rowOff>95250</xdr:rowOff>
                  </from>
                  <to>
                    <xdr:col>9</xdr:col>
                    <xdr:colOff>552450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A057-304E-4E57-A1AC-0D58A5F7FF7B}">
  <sheetPr codeName="Sheet4"/>
  <dimension ref="A1:C15"/>
  <sheetViews>
    <sheetView tabSelected="1" workbookViewId="0">
      <selection activeCell="N30" sqref="N30"/>
    </sheetView>
  </sheetViews>
  <sheetFormatPr defaultRowHeight="15" x14ac:dyDescent="0.25"/>
  <cols>
    <col min="1" max="1" width="14" bestFit="1" customWidth="1"/>
    <col min="2" max="2" width="18" bestFit="1" customWidth="1"/>
    <col min="3" max="3" width="12.28515625" bestFit="1" customWidth="1"/>
  </cols>
  <sheetData>
    <row r="1" spans="1:3" x14ac:dyDescent="0.25">
      <c r="A1" t="s">
        <v>527</v>
      </c>
    </row>
    <row r="3" spans="1:3" x14ac:dyDescent="0.25">
      <c r="A3" s="2" t="s">
        <v>0</v>
      </c>
      <c r="B3" s="2" t="s">
        <v>526</v>
      </c>
      <c r="C3" s="2" t="s">
        <v>523</v>
      </c>
    </row>
    <row r="4" spans="1:3" x14ac:dyDescent="0.25">
      <c r="A4" t="s">
        <v>8</v>
      </c>
      <c r="B4" s="11">
        <v>83079900</v>
      </c>
      <c r="C4" s="13">
        <v>-7.2847634553909302E-2</v>
      </c>
    </row>
    <row r="5" spans="1:3" x14ac:dyDescent="0.25">
      <c r="A5" t="s">
        <v>9</v>
      </c>
      <c r="B5" s="11">
        <v>200879900</v>
      </c>
      <c r="C5" s="13">
        <v>-0.16336052119731903</v>
      </c>
    </row>
    <row r="6" spans="1:3" x14ac:dyDescent="0.25">
      <c r="A6" t="s">
        <v>10</v>
      </c>
      <c r="B6" s="11">
        <v>107873900</v>
      </c>
      <c r="C6" s="13">
        <v>-0.62601888179779053</v>
      </c>
    </row>
    <row r="7" spans="1:3" x14ac:dyDescent="0.25">
      <c r="A7" t="s">
        <v>11</v>
      </c>
      <c r="B7" s="11">
        <v>607473500</v>
      </c>
      <c r="C7" s="12">
        <v>0.81923085451126099</v>
      </c>
    </row>
    <row r="8" spans="1:3" x14ac:dyDescent="0.25">
      <c r="A8" t="s">
        <v>12</v>
      </c>
      <c r="B8" s="11">
        <v>478113900</v>
      </c>
      <c r="C8" s="13">
        <v>-0.39713191986083984</v>
      </c>
    </row>
    <row r="9" spans="1:3" x14ac:dyDescent="0.25">
      <c r="A9" t="s">
        <v>13</v>
      </c>
      <c r="B9" s="11">
        <v>104340600</v>
      </c>
      <c r="C9" s="13">
        <v>-0.20658062398433685</v>
      </c>
    </row>
    <row r="10" spans="1:3" x14ac:dyDescent="0.25">
      <c r="A10" t="s">
        <v>14</v>
      </c>
      <c r="B10" s="11">
        <v>158309000</v>
      </c>
      <c r="C10" s="13">
        <v>-0.6053471565246582</v>
      </c>
    </row>
    <row r="11" spans="1:3" x14ac:dyDescent="0.25">
      <c r="A11" t="s">
        <v>15</v>
      </c>
      <c r="B11" s="11">
        <v>502757100</v>
      </c>
      <c r="C11" s="12">
        <v>0.83952707052230835</v>
      </c>
    </row>
    <row r="12" spans="1:3" x14ac:dyDescent="0.25">
      <c r="A12" t="s">
        <v>16</v>
      </c>
      <c r="B12" s="11">
        <v>237212300</v>
      </c>
      <c r="C12" s="13">
        <v>-7.7529586851596832E-2</v>
      </c>
    </row>
    <row r="13" spans="1:3" x14ac:dyDescent="0.25">
      <c r="A13" t="s">
        <v>17</v>
      </c>
      <c r="B13" s="11">
        <v>538024300</v>
      </c>
      <c r="C13" s="13">
        <v>-0.44593092799186707</v>
      </c>
    </row>
    <row r="14" spans="1:3" x14ac:dyDescent="0.25">
      <c r="A14" t="s">
        <v>18</v>
      </c>
      <c r="B14" s="11">
        <v>151434700</v>
      </c>
      <c r="C14" s="13">
        <v>-4.9957673996686935E-2</v>
      </c>
    </row>
    <row r="15" spans="1:3" x14ac:dyDescent="0.25">
      <c r="A15" t="s">
        <v>19</v>
      </c>
      <c r="B15" s="11">
        <v>136539100</v>
      </c>
      <c r="C15" s="13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llStocksAnalysis">
                <anchor moveWithCells="1">
                  <from>
                    <xdr:col>7</xdr:col>
                    <xdr:colOff>142875</xdr:colOff>
                    <xdr:row>5</xdr:row>
                    <xdr:rowOff>38100</xdr:rowOff>
                  </from>
                  <to>
                    <xdr:col>11</xdr:col>
                    <xdr:colOff>142875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ClearWorksheet">
                <anchor moveWithCells="1">
                  <from>
                    <xdr:col>7</xdr:col>
                    <xdr:colOff>152400</xdr:colOff>
                    <xdr:row>10</xdr:row>
                    <xdr:rowOff>19050</xdr:rowOff>
                  </from>
                  <to>
                    <xdr:col>11</xdr:col>
                    <xdr:colOff>257175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llStocksAnalysisRefactored">
                <anchor moveWithCells="1" sizeWithCells="1">
                  <from>
                    <xdr:col>13</xdr:col>
                    <xdr:colOff>114300</xdr:colOff>
                    <xdr:row>5</xdr:row>
                    <xdr:rowOff>28575</xdr:rowOff>
                  </from>
                  <to>
                    <xdr:col>16</xdr:col>
                    <xdr:colOff>600075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BC67B-F94E-44B7-8E3C-C3E6DA0BB54A}">
  <sheetPr codeName="Sheet6"/>
  <dimension ref="A1:J10"/>
  <sheetViews>
    <sheetView workbookViewId="0">
      <selection activeCell="E16" sqref="E16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3A612-DDE2-4132-8863-418A2A771294}">
  <sheetPr codeName="Sheet7"/>
  <dimension ref="A1"/>
  <sheetViews>
    <sheetView workbookViewId="0">
      <selection activeCell="E14" sqref="E14:F18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E8F3-4175-4940-9205-9F789F73CCDB}">
  <sheetPr codeName="Sheet5"/>
  <dimension ref="A1:G68"/>
  <sheetViews>
    <sheetView workbookViewId="0">
      <selection activeCell="A4" sqref="A4:A15"/>
    </sheetView>
  </sheetViews>
  <sheetFormatPr defaultRowHeight="15" x14ac:dyDescent="0.25"/>
  <cols>
    <col min="2" max="3" width="11.140625" bestFit="1" customWidth="1"/>
    <col min="4" max="4" width="14" customWidth="1"/>
    <col min="5" max="5" width="9.85546875" bestFit="1" customWidth="1"/>
  </cols>
  <sheetData>
    <row r="1" spans="1:5" x14ac:dyDescent="0.25">
      <c r="A1" t="s">
        <v>528</v>
      </c>
    </row>
    <row r="2" spans="1:5" x14ac:dyDescent="0.25">
      <c r="A2" s="9" t="s">
        <v>7</v>
      </c>
      <c r="B2" s="9"/>
      <c r="C2" s="9"/>
      <c r="D2" s="9"/>
      <c r="E2" s="9"/>
    </row>
    <row r="3" spans="1:5" x14ac:dyDescent="0.25">
      <c r="A3" s="8" t="s">
        <v>0</v>
      </c>
      <c r="B3" s="8">
        <v>2017</v>
      </c>
      <c r="C3" s="8">
        <v>2018</v>
      </c>
      <c r="D3" s="8" t="s">
        <v>534</v>
      </c>
      <c r="E3" s="8" t="s">
        <v>533</v>
      </c>
    </row>
    <row r="4" spans="1:5" x14ac:dyDescent="0.25">
      <c r="A4" t="s">
        <v>8</v>
      </c>
      <c r="B4" s="3">
        <v>136070900</v>
      </c>
      <c r="C4" s="3">
        <v>83079900</v>
      </c>
      <c r="D4" s="3">
        <f t="shared" ref="D4:D15" si="0">C4-B4</f>
        <v>-52991000</v>
      </c>
      <c r="E4" s="4">
        <f>D4/B4</f>
        <v>-0.38943668337609288</v>
      </c>
    </row>
    <row r="5" spans="1:5" x14ac:dyDescent="0.25">
      <c r="A5" t="s">
        <v>9</v>
      </c>
      <c r="B5" s="3">
        <v>310592800</v>
      </c>
      <c r="C5" s="3">
        <v>200879900</v>
      </c>
      <c r="D5" s="3">
        <f t="shared" si="0"/>
        <v>-109712900</v>
      </c>
      <c r="E5" s="4">
        <f t="shared" ref="E5:E15" si="1">D5/B5</f>
        <v>-0.35323710015170989</v>
      </c>
    </row>
    <row r="6" spans="1:5" x14ac:dyDescent="0.25">
      <c r="A6" t="s">
        <v>10</v>
      </c>
      <c r="B6" s="3">
        <v>35796200</v>
      </c>
      <c r="C6" s="3">
        <v>107873900</v>
      </c>
      <c r="D6" s="3">
        <f t="shared" si="0"/>
        <v>72077700</v>
      </c>
      <c r="E6" s="4">
        <f t="shared" si="1"/>
        <v>2.0135573049653317</v>
      </c>
    </row>
    <row r="7" spans="1:5" x14ac:dyDescent="0.25">
      <c r="A7" t="s">
        <v>11</v>
      </c>
      <c r="B7" s="3">
        <v>221772100</v>
      </c>
      <c r="C7" s="3">
        <v>607473500</v>
      </c>
      <c r="D7" s="3">
        <f t="shared" si="0"/>
        <v>385701400</v>
      </c>
      <c r="E7" s="4">
        <f t="shared" si="1"/>
        <v>1.7391790942142857</v>
      </c>
    </row>
    <row r="8" spans="1:5" x14ac:dyDescent="0.25">
      <c r="A8" t="s">
        <v>12</v>
      </c>
      <c r="B8" s="3">
        <v>684181400</v>
      </c>
      <c r="C8" s="3">
        <v>478113900</v>
      </c>
      <c r="D8" s="3">
        <f t="shared" si="0"/>
        <v>-206067500</v>
      </c>
      <c r="E8" s="4">
        <f t="shared" si="1"/>
        <v>-0.3011883982815084</v>
      </c>
    </row>
    <row r="9" spans="1:5" x14ac:dyDescent="0.25">
      <c r="A9" t="s">
        <v>13</v>
      </c>
      <c r="B9" s="3">
        <v>80949300</v>
      </c>
      <c r="C9" s="3">
        <v>104340600</v>
      </c>
      <c r="D9" s="3">
        <f t="shared" si="0"/>
        <v>23391300</v>
      </c>
      <c r="E9" s="4">
        <f t="shared" si="1"/>
        <v>0.28896235050828112</v>
      </c>
    </row>
    <row r="10" spans="1:5" x14ac:dyDescent="0.25">
      <c r="A10" t="s">
        <v>14</v>
      </c>
      <c r="B10" s="3">
        <v>191632200</v>
      </c>
      <c r="C10" s="3">
        <v>158309000</v>
      </c>
      <c r="D10" s="3">
        <f t="shared" si="0"/>
        <v>-33323200</v>
      </c>
      <c r="E10" s="4">
        <f t="shared" si="1"/>
        <v>-0.17389144413099678</v>
      </c>
    </row>
    <row r="11" spans="1:5" x14ac:dyDescent="0.25">
      <c r="A11" t="s">
        <v>15</v>
      </c>
      <c r="B11" s="3">
        <v>267681300</v>
      </c>
      <c r="C11" s="3">
        <v>502757100</v>
      </c>
      <c r="D11" s="3">
        <f t="shared" si="0"/>
        <v>235075800</v>
      </c>
      <c r="E11" s="4">
        <f t="shared" si="1"/>
        <v>0.87819283603299891</v>
      </c>
    </row>
    <row r="12" spans="1:5" x14ac:dyDescent="0.25">
      <c r="A12" t="s">
        <v>16</v>
      </c>
      <c r="B12" s="3">
        <v>206885200</v>
      </c>
      <c r="C12" s="3">
        <v>237212300</v>
      </c>
      <c r="D12" s="3">
        <f t="shared" si="0"/>
        <v>30327100</v>
      </c>
      <c r="E12" s="4">
        <f t="shared" si="1"/>
        <v>0.14658902618456998</v>
      </c>
    </row>
    <row r="13" spans="1:5" x14ac:dyDescent="0.25">
      <c r="A13" t="s">
        <v>17</v>
      </c>
      <c r="B13" s="3">
        <v>782187000</v>
      </c>
      <c r="C13" s="3">
        <v>538024300</v>
      </c>
      <c r="D13" s="3">
        <f t="shared" si="0"/>
        <v>-244162700</v>
      </c>
      <c r="E13" s="4">
        <f t="shared" si="1"/>
        <v>-0.31215387113311777</v>
      </c>
    </row>
    <row r="14" spans="1:5" x14ac:dyDescent="0.25">
      <c r="A14" t="s">
        <v>18</v>
      </c>
      <c r="B14" s="3">
        <v>139402800</v>
      </c>
      <c r="C14" s="3">
        <v>151434700</v>
      </c>
      <c r="D14" s="3">
        <f t="shared" si="0"/>
        <v>12031900</v>
      </c>
      <c r="E14" s="4">
        <f t="shared" si="1"/>
        <v>8.6310318013698428E-2</v>
      </c>
    </row>
    <row r="15" spans="1:5" x14ac:dyDescent="0.25">
      <c r="A15" t="s">
        <v>19</v>
      </c>
      <c r="B15" s="3">
        <v>109487900</v>
      </c>
      <c r="C15" s="3">
        <v>136539100</v>
      </c>
      <c r="D15" s="3">
        <f t="shared" si="0"/>
        <v>27051200</v>
      </c>
      <c r="E15" s="4">
        <f t="shared" si="1"/>
        <v>0.24707022419829042</v>
      </c>
    </row>
    <row r="16" spans="1:5" x14ac:dyDescent="0.25">
      <c r="A16" s="9" t="s">
        <v>523</v>
      </c>
      <c r="B16" s="9"/>
      <c r="C16" s="9"/>
      <c r="D16" s="9"/>
      <c r="E16" s="9"/>
    </row>
    <row r="17" spans="1:7" x14ac:dyDescent="0.25">
      <c r="A17" s="8" t="s">
        <v>0</v>
      </c>
      <c r="B17" s="8">
        <v>2017</v>
      </c>
      <c r="C17" s="8">
        <v>2018</v>
      </c>
      <c r="D17" s="8" t="s">
        <v>534</v>
      </c>
      <c r="E17" s="8" t="s">
        <v>533</v>
      </c>
    </row>
    <row r="18" spans="1:7" x14ac:dyDescent="0.25">
      <c r="A18" t="s">
        <v>8</v>
      </c>
      <c r="B18" s="4">
        <v>8.9368253946304321E-2</v>
      </c>
      <c r="C18" s="4">
        <v>-7.2847634553909302E-2</v>
      </c>
      <c r="D18" s="10">
        <f>(C18-B18)*100</f>
        <v>-16.221588850021362</v>
      </c>
      <c r="E18" s="4">
        <f>$D18/$B18/100</f>
        <v>-1.8151399556007752</v>
      </c>
      <c r="G18" s="4"/>
    </row>
    <row r="19" spans="1:7" x14ac:dyDescent="0.25">
      <c r="A19" t="s">
        <v>9</v>
      </c>
      <c r="B19" s="4">
        <v>0.33070248365402222</v>
      </c>
      <c r="C19" s="4">
        <v>-0.16336052119731903</v>
      </c>
      <c r="D19" s="10">
        <f t="shared" ref="D19:D29" si="2">(C19-B19)*100</f>
        <v>-49.406300485134125</v>
      </c>
      <c r="E19" s="4">
        <f t="shared" ref="E19:E29" si="3">$D19/$B19/100</f>
        <v>-1.4939803275509271</v>
      </c>
      <c r="G19" s="4"/>
    </row>
    <row r="20" spans="1:7" x14ac:dyDescent="0.25">
      <c r="A20" t="s">
        <v>10</v>
      </c>
      <c r="B20" s="4">
        <v>1.9944583177566528</v>
      </c>
      <c r="C20" s="4">
        <v>-0.62601888179779053</v>
      </c>
      <c r="D20" s="10">
        <f t="shared" si="2"/>
        <v>-262.04771995544434</v>
      </c>
      <c r="E20" s="4">
        <f t="shared" si="3"/>
        <v>-1.3138791501553817</v>
      </c>
      <c r="G20" s="4"/>
    </row>
    <row r="21" spans="1:7" x14ac:dyDescent="0.25">
      <c r="A21" t="s">
        <v>11</v>
      </c>
      <c r="B21" s="4">
        <v>1.2952382564544678</v>
      </c>
      <c r="C21" s="4">
        <v>0.81923085451126099</v>
      </c>
      <c r="D21" s="10">
        <f t="shared" si="2"/>
        <v>-47.600740194320679</v>
      </c>
      <c r="E21" s="4">
        <f t="shared" si="3"/>
        <v>-0.36750566899267623</v>
      </c>
      <c r="G21" s="4"/>
    </row>
    <row r="22" spans="1:7" x14ac:dyDescent="0.25">
      <c r="A22" t="s">
        <v>12</v>
      </c>
      <c r="B22" s="4">
        <v>1.0131185054779053</v>
      </c>
      <c r="C22" s="4">
        <v>-0.39713191986083984</v>
      </c>
      <c r="D22" s="10">
        <f t="shared" si="2"/>
        <v>-141.02504253387451</v>
      </c>
      <c r="E22" s="4">
        <f t="shared" si="3"/>
        <v>-1.3919896021181708</v>
      </c>
      <c r="G22" s="4"/>
    </row>
    <row r="23" spans="1:7" x14ac:dyDescent="0.25">
      <c r="A23" t="s">
        <v>13</v>
      </c>
      <c r="B23" s="4">
        <v>0.2583681046962738</v>
      </c>
      <c r="C23" s="4">
        <v>-0.20658062398433685</v>
      </c>
      <c r="D23" s="10">
        <f t="shared" si="2"/>
        <v>-46.494872868061066</v>
      </c>
      <c r="E23" s="4">
        <f t="shared" si="3"/>
        <v>-1.7995593118089557</v>
      </c>
      <c r="G23" s="4"/>
    </row>
    <row r="24" spans="1:7" x14ac:dyDescent="0.25">
      <c r="A24" t="s">
        <v>14</v>
      </c>
      <c r="B24" s="4">
        <v>0.53870755434036255</v>
      </c>
      <c r="C24" s="4">
        <v>-0.6053471565246582</v>
      </c>
      <c r="D24" s="10">
        <f t="shared" si="2"/>
        <v>-114.40547108650208</v>
      </c>
      <c r="E24" s="4">
        <f t="shared" si="3"/>
        <v>-2.1237027430697433</v>
      </c>
      <c r="G24" s="4"/>
    </row>
    <row r="25" spans="1:7" x14ac:dyDescent="0.25">
      <c r="A25" t="s">
        <v>15</v>
      </c>
      <c r="B25" s="4">
        <v>5.5456161499023438E-2</v>
      </c>
      <c r="C25" s="4">
        <v>0.83952707052230835</v>
      </c>
      <c r="D25" s="10">
        <f t="shared" si="2"/>
        <v>78.407090902328491</v>
      </c>
      <c r="E25" s="4">
        <f t="shared" si="3"/>
        <v>14.138571582115219</v>
      </c>
      <c r="G25" s="4"/>
    </row>
    <row r="26" spans="1:7" x14ac:dyDescent="0.25">
      <c r="A26" t="s">
        <v>16</v>
      </c>
      <c r="B26" s="4">
        <v>1.8446969985961914</v>
      </c>
      <c r="C26" s="4">
        <v>-7.7529586851596832E-2</v>
      </c>
      <c r="D26" s="10">
        <f t="shared" si="2"/>
        <v>-192.22265854477882</v>
      </c>
      <c r="E26" s="4">
        <f t="shared" si="3"/>
        <v>-1.0420283585383381</v>
      </c>
      <c r="G26" s="4"/>
    </row>
    <row r="27" spans="1:7" x14ac:dyDescent="0.25">
      <c r="A27" t="s">
        <v>17</v>
      </c>
      <c r="B27" s="4">
        <v>0.23065699636936188</v>
      </c>
      <c r="C27" s="4">
        <v>-0.44593092799186707</v>
      </c>
      <c r="D27" s="10">
        <f t="shared" si="2"/>
        <v>-67.658792436122894</v>
      </c>
      <c r="E27" s="4">
        <f t="shared" si="3"/>
        <v>-2.9333076169854255</v>
      </c>
      <c r="G27" s="4"/>
    </row>
    <row r="28" spans="1:7" x14ac:dyDescent="0.25">
      <c r="A28" t="s">
        <v>18</v>
      </c>
      <c r="B28" s="4">
        <v>-7.2148971259593964E-2</v>
      </c>
      <c r="C28" s="4">
        <v>-4.9957673996686935E-2</v>
      </c>
      <c r="D28" s="10">
        <f t="shared" si="2"/>
        <v>2.2191297262907028</v>
      </c>
      <c r="E28" s="4">
        <f>-$D28/$B28/100</f>
        <v>0.30757607316481528</v>
      </c>
      <c r="G28" s="4"/>
    </row>
    <row r="29" spans="1:7" x14ac:dyDescent="0.25">
      <c r="A29" t="s">
        <v>19</v>
      </c>
      <c r="B29" s="4">
        <v>0.50000005960464478</v>
      </c>
      <c r="C29" s="4">
        <v>-3.5443063825368881E-2</v>
      </c>
      <c r="D29" s="10">
        <f t="shared" si="2"/>
        <v>-53.544312343001366</v>
      </c>
      <c r="E29" s="4">
        <f t="shared" si="3"/>
        <v>-1.0708861192004537</v>
      </c>
      <c r="G29" s="4"/>
    </row>
    <row r="31" spans="1:7" x14ac:dyDescent="0.25">
      <c r="A31" t="s">
        <v>529</v>
      </c>
      <c r="B31" t="s">
        <v>530</v>
      </c>
      <c r="C31" t="s">
        <v>531</v>
      </c>
    </row>
    <row r="32" spans="1:7" x14ac:dyDescent="0.25">
      <c r="A32">
        <v>2017</v>
      </c>
      <c r="B32">
        <v>2.9960939999999998</v>
      </c>
      <c r="C32" s="5">
        <v>7.8125E-2</v>
      </c>
      <c r="D32" s="6">
        <f>C32-B32</f>
        <v>-2.9179689999999998</v>
      </c>
      <c r="E32" s="4">
        <f>D32/B32</f>
        <v>-0.97392438287984284</v>
      </c>
      <c r="F32" s="14">
        <f>B32/C32</f>
        <v>38.350003199999996</v>
      </c>
      <c r="G32" s="15">
        <f>C32/B32</f>
        <v>2.6075617120157112E-2</v>
      </c>
    </row>
    <row r="33" spans="1:7" x14ac:dyDescent="0.25">
      <c r="A33">
        <v>2018</v>
      </c>
      <c r="B33">
        <v>2.6757810000000002</v>
      </c>
      <c r="C33" s="5">
        <v>7.8125E-2</v>
      </c>
      <c r="D33" s="6">
        <f>C33-B33</f>
        <v>-2.5976560000000002</v>
      </c>
      <c r="E33" s="4">
        <f t="shared" ref="E32:E33" si="4">D33/B33</f>
        <v>-0.97080291698012655</v>
      </c>
      <c r="F33" s="14">
        <f>B33/C33</f>
        <v>34.249996800000005</v>
      </c>
      <c r="G33" s="15">
        <f>C33/B33</f>
        <v>2.9197083019873449E-2</v>
      </c>
    </row>
    <row r="35" spans="1:7" x14ac:dyDescent="0.25">
      <c r="A35" t="s">
        <v>532</v>
      </c>
    </row>
    <row r="37" spans="1:7" x14ac:dyDescent="0.25">
      <c r="B37" t="s">
        <v>7</v>
      </c>
    </row>
    <row r="38" spans="1:7" x14ac:dyDescent="0.25">
      <c r="A38" s="2" t="s">
        <v>0</v>
      </c>
      <c r="B38">
        <v>2017</v>
      </c>
      <c r="D38">
        <v>2018</v>
      </c>
    </row>
    <row r="39" spans="1:7" x14ac:dyDescent="0.25">
      <c r="A39" t="s">
        <v>8</v>
      </c>
      <c r="B39" s="3">
        <v>136070900</v>
      </c>
      <c r="C39" s="4">
        <v>8.9368253946304321E-2</v>
      </c>
      <c r="D39" s="3">
        <v>83079900</v>
      </c>
      <c r="E39" s="4">
        <v>-7.2847634553909302E-2</v>
      </c>
      <c r="F39" s="4"/>
    </row>
    <row r="40" spans="1:7" x14ac:dyDescent="0.25">
      <c r="A40" t="s">
        <v>9</v>
      </c>
      <c r="B40" s="3">
        <v>310592800</v>
      </c>
      <c r="C40" s="4">
        <v>0.33070248365402222</v>
      </c>
      <c r="D40" s="3">
        <v>200879900</v>
      </c>
      <c r="E40" s="4">
        <v>-0.16336052119731903</v>
      </c>
      <c r="F40" s="4"/>
    </row>
    <row r="41" spans="1:7" x14ac:dyDescent="0.25">
      <c r="A41" t="s">
        <v>10</v>
      </c>
      <c r="B41" s="3">
        <v>35796200</v>
      </c>
      <c r="C41" s="4">
        <v>1.9944583177566528</v>
      </c>
      <c r="D41" s="3">
        <v>107873900</v>
      </c>
      <c r="E41" s="4">
        <v>-0.62601888179779053</v>
      </c>
      <c r="F41" s="4"/>
    </row>
    <row r="42" spans="1:7" x14ac:dyDescent="0.25">
      <c r="A42" t="s">
        <v>11</v>
      </c>
      <c r="B42" s="3">
        <v>221772100</v>
      </c>
      <c r="C42" s="4">
        <v>1.2952382564544678</v>
      </c>
      <c r="D42" s="3">
        <v>607473500</v>
      </c>
      <c r="E42" s="4">
        <v>0.81923085451126099</v>
      </c>
      <c r="F42" s="4"/>
    </row>
    <row r="43" spans="1:7" x14ac:dyDescent="0.25">
      <c r="A43" t="s">
        <v>12</v>
      </c>
      <c r="B43" s="3">
        <v>684181400</v>
      </c>
      <c r="C43" s="4">
        <v>1.0131185054779053</v>
      </c>
      <c r="D43" s="3">
        <v>478113900</v>
      </c>
      <c r="E43" s="4">
        <v>-0.39713191986083984</v>
      </c>
      <c r="F43" s="4"/>
    </row>
    <row r="44" spans="1:7" x14ac:dyDescent="0.25">
      <c r="A44" t="s">
        <v>13</v>
      </c>
      <c r="B44" s="3">
        <v>80949300</v>
      </c>
      <c r="C44" s="4">
        <v>0.2583681046962738</v>
      </c>
      <c r="D44" s="3">
        <v>104340600</v>
      </c>
      <c r="E44" s="4">
        <v>-0.20658062398433685</v>
      </c>
      <c r="F44" s="4"/>
    </row>
    <row r="45" spans="1:7" x14ac:dyDescent="0.25">
      <c r="A45" t="s">
        <v>14</v>
      </c>
      <c r="B45" s="3">
        <v>191632200</v>
      </c>
      <c r="C45" s="4">
        <v>0.53870755434036255</v>
      </c>
      <c r="D45" s="3">
        <v>158309000</v>
      </c>
      <c r="E45" s="4">
        <v>-0.6053471565246582</v>
      </c>
      <c r="F45" s="4"/>
    </row>
    <row r="46" spans="1:7" x14ac:dyDescent="0.25">
      <c r="A46" t="s">
        <v>15</v>
      </c>
      <c r="B46" s="3">
        <v>267681300</v>
      </c>
      <c r="C46" s="4">
        <v>5.5456161499023438E-2</v>
      </c>
      <c r="D46" s="3">
        <v>502757100</v>
      </c>
      <c r="E46" s="4">
        <v>0.83952707052230835</v>
      </c>
      <c r="F46" s="4"/>
    </row>
    <row r="47" spans="1:7" x14ac:dyDescent="0.25">
      <c r="A47" t="s">
        <v>16</v>
      </c>
      <c r="B47" s="3">
        <v>206885200</v>
      </c>
      <c r="C47" s="4">
        <v>1.8446969985961914</v>
      </c>
      <c r="D47" s="3">
        <v>237212300</v>
      </c>
      <c r="E47" s="4">
        <v>-7.7529586851596832E-2</v>
      </c>
      <c r="F47" s="4"/>
    </row>
    <row r="48" spans="1:7" x14ac:dyDescent="0.25">
      <c r="A48" t="s">
        <v>17</v>
      </c>
      <c r="B48" s="3">
        <v>782187000</v>
      </c>
      <c r="C48" s="4">
        <v>0.23065699636936188</v>
      </c>
      <c r="D48" s="3">
        <v>538024300</v>
      </c>
      <c r="E48" s="4">
        <v>-0.44593092799186707</v>
      </c>
      <c r="F48" s="4"/>
    </row>
    <row r="49" spans="1:6" x14ac:dyDescent="0.25">
      <c r="A49" t="s">
        <v>18</v>
      </c>
      <c r="B49" s="3">
        <v>139402800</v>
      </c>
      <c r="C49" s="4">
        <v>-7.2148971259593964E-2</v>
      </c>
      <c r="D49" s="3">
        <v>151434700</v>
      </c>
      <c r="E49" s="4">
        <v>-4.9957673996686935E-2</v>
      </c>
      <c r="F49" s="4"/>
    </row>
    <row r="50" spans="1:6" x14ac:dyDescent="0.25">
      <c r="A50" t="s">
        <v>19</v>
      </c>
      <c r="B50" s="3">
        <v>109487900</v>
      </c>
      <c r="C50" s="4">
        <v>0.50000005960464478</v>
      </c>
      <c r="D50" s="3">
        <v>136539100</v>
      </c>
      <c r="E50" s="4">
        <v>-3.5443063825368881E-2</v>
      </c>
      <c r="F50" s="4"/>
    </row>
    <row r="51" spans="1:6" x14ac:dyDescent="0.25">
      <c r="B51" t="s">
        <v>523</v>
      </c>
    </row>
    <row r="52" spans="1:6" x14ac:dyDescent="0.25">
      <c r="A52" t="s">
        <v>0</v>
      </c>
      <c r="B52" s="3">
        <v>2017</v>
      </c>
      <c r="C52" s="3"/>
      <c r="D52" s="3">
        <v>2018</v>
      </c>
    </row>
    <row r="53" spans="1:6" x14ac:dyDescent="0.25">
      <c r="A53" t="s">
        <v>8</v>
      </c>
      <c r="C53" s="4"/>
      <c r="E53" s="7">
        <f>(E39-C39)*100</f>
        <v>-16.221588850021362</v>
      </c>
      <c r="F53" s="4">
        <f>$E53/$C39/100</f>
        <v>-1.8151399556007752</v>
      </c>
    </row>
    <row r="54" spans="1:6" x14ac:dyDescent="0.25">
      <c r="A54" t="s">
        <v>9</v>
      </c>
      <c r="C54" s="4"/>
      <c r="E54" s="7">
        <f>(E40-C40)*100</f>
        <v>-49.406300485134125</v>
      </c>
      <c r="F54" s="4">
        <f>$E54/$C40/100</f>
        <v>-1.4939803275509271</v>
      </c>
    </row>
    <row r="55" spans="1:6" x14ac:dyDescent="0.25">
      <c r="A55" t="s">
        <v>10</v>
      </c>
      <c r="C55" s="4"/>
      <c r="E55" s="7">
        <f>(E41-C41)*100</f>
        <v>-262.04771995544434</v>
      </c>
      <c r="F55" s="4">
        <f>$E55/$C41/100</f>
        <v>-1.3138791501553817</v>
      </c>
    </row>
    <row r="56" spans="1:6" x14ac:dyDescent="0.25">
      <c r="A56" t="s">
        <v>11</v>
      </c>
      <c r="C56" s="4"/>
      <c r="E56" s="7">
        <f>(E42-C42)*100</f>
        <v>-47.600740194320679</v>
      </c>
      <c r="F56" s="4">
        <f>$E56/$C42/100</f>
        <v>-0.36750566899267623</v>
      </c>
    </row>
    <row r="57" spans="1:6" x14ac:dyDescent="0.25">
      <c r="A57" t="s">
        <v>12</v>
      </c>
      <c r="C57" s="4"/>
      <c r="E57" s="7">
        <f>(E43-C43)*100</f>
        <v>-141.02504253387451</v>
      </c>
      <c r="F57" s="4">
        <f>$E57/$C43/100</f>
        <v>-1.3919896021181708</v>
      </c>
    </row>
    <row r="58" spans="1:6" x14ac:dyDescent="0.25">
      <c r="A58" t="s">
        <v>13</v>
      </c>
      <c r="C58" s="4"/>
      <c r="E58" s="7">
        <f>(E44-C44)*100</f>
        <v>-46.494872868061066</v>
      </c>
      <c r="F58" s="4">
        <f>$E58/$C44/100</f>
        <v>-1.7995593118089557</v>
      </c>
    </row>
    <row r="59" spans="1:6" x14ac:dyDescent="0.25">
      <c r="A59" t="s">
        <v>14</v>
      </c>
      <c r="C59" s="4"/>
      <c r="E59" s="7">
        <f>(E45-C45)*100</f>
        <v>-114.40547108650208</v>
      </c>
      <c r="F59" s="4">
        <f>$E59/$C45/100</f>
        <v>-2.1237027430697433</v>
      </c>
    </row>
    <row r="60" spans="1:6" x14ac:dyDescent="0.25">
      <c r="A60" t="s">
        <v>15</v>
      </c>
      <c r="C60" s="4"/>
      <c r="E60" s="7">
        <f>(E46-C46)*100</f>
        <v>78.407090902328491</v>
      </c>
      <c r="F60" s="4">
        <f>$E60/$C46/100</f>
        <v>14.138571582115219</v>
      </c>
    </row>
    <row r="61" spans="1:6" x14ac:dyDescent="0.25">
      <c r="A61" t="s">
        <v>16</v>
      </c>
      <c r="C61" s="4"/>
      <c r="E61" s="7">
        <f>(E47-C47)*100</f>
        <v>-192.22265854477882</v>
      </c>
      <c r="F61" s="4">
        <f>$E61/$C47/100</f>
        <v>-1.0420283585383381</v>
      </c>
    </row>
    <row r="62" spans="1:6" x14ac:dyDescent="0.25">
      <c r="A62" t="s">
        <v>17</v>
      </c>
      <c r="C62" s="4"/>
      <c r="E62" s="7">
        <f>(E48-C48)*100</f>
        <v>-67.658792436122894</v>
      </c>
      <c r="F62" s="4">
        <f>$E62/$C48/100</f>
        <v>-2.9333076169854255</v>
      </c>
    </row>
    <row r="63" spans="1:6" x14ac:dyDescent="0.25">
      <c r="A63" t="s">
        <v>18</v>
      </c>
      <c r="C63" s="4"/>
      <c r="E63" s="7">
        <f>(E49-C49)*100</f>
        <v>2.2191297262907028</v>
      </c>
      <c r="F63" s="4">
        <f>$E63/$C49/100</f>
        <v>-0.30757607316481528</v>
      </c>
    </row>
    <row r="64" spans="1:6" x14ac:dyDescent="0.25">
      <c r="A64" t="s">
        <v>19</v>
      </c>
      <c r="C64" s="4"/>
      <c r="E64" s="7">
        <f>(E50-C50)*100</f>
        <v>-53.544312343001366</v>
      </c>
      <c r="F64" s="4">
        <f>$E64/$C50/100</f>
        <v>-1.0708861192004537</v>
      </c>
    </row>
    <row r="66" spans="1:5" x14ac:dyDescent="0.25">
      <c r="A66" t="s">
        <v>529</v>
      </c>
      <c r="B66" t="s">
        <v>530</v>
      </c>
      <c r="C66" t="s">
        <v>531</v>
      </c>
    </row>
    <row r="67" spans="1:5" x14ac:dyDescent="0.25">
      <c r="A67">
        <v>2017</v>
      </c>
      <c r="B67">
        <v>2.875</v>
      </c>
      <c r="C67" s="5">
        <v>9.375E-2</v>
      </c>
      <c r="D67" s="6">
        <f>C67-B67</f>
        <v>-2.78125</v>
      </c>
      <c r="E67" s="4">
        <f t="shared" ref="E67:E68" si="5">D67/B67</f>
        <v>-0.96739130434782605</v>
      </c>
    </row>
    <row r="68" spans="1:5" x14ac:dyDescent="0.25">
      <c r="A68">
        <v>2018</v>
      </c>
      <c r="B68">
        <v>3.1484380000000001</v>
      </c>
      <c r="C68" s="5">
        <v>7.8125E-2</v>
      </c>
      <c r="D68" s="6">
        <f>C68-B68</f>
        <v>-3.0703130000000001</v>
      </c>
      <c r="E68" s="4">
        <f t="shared" si="5"/>
        <v>-0.97518610815902995</v>
      </c>
    </row>
  </sheetData>
  <mergeCells count="2">
    <mergeCell ref="A2:E2"/>
    <mergeCell ref="A16:E16"/>
  </mergeCells>
  <conditionalFormatting sqref="D4:E15">
    <cfRule type="cellIs" dxfId="13" priority="13" operator="greaterThan">
      <formula>0</formula>
    </cfRule>
    <cfRule type="cellIs" dxfId="12" priority="14" operator="lessThan">
      <formula>0</formula>
    </cfRule>
  </conditionalFormatting>
  <conditionalFormatting sqref="E32:E33">
    <cfRule type="cellIs" dxfId="11" priority="12" operator="lessThan">
      <formula>0</formula>
    </cfRule>
  </conditionalFormatting>
  <conditionalFormatting sqref="D18:D29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G18:G29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F39:F50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E67:E68">
    <cfRule type="cellIs" dxfId="4" priority="5" operator="lessThan">
      <formula>0</formula>
    </cfRule>
  </conditionalFormatting>
  <conditionalFormatting sqref="E53:E6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E18:E2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ignoredErrors>
    <ignoredError sqref="E2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Practice Loops</vt:lpstr>
      <vt:lpstr>Practice Format</vt:lpstr>
      <vt:lpstr>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Sanchez</dc:creator>
  <cp:lastModifiedBy>P Sanchez</cp:lastModifiedBy>
  <cp:lastPrinted>2021-07-05T00:35:24Z</cp:lastPrinted>
  <dcterms:created xsi:type="dcterms:W3CDTF">2019-05-02T20:23:55Z</dcterms:created>
  <dcterms:modified xsi:type="dcterms:W3CDTF">2021-07-05T04:12:30Z</dcterms:modified>
</cp:coreProperties>
</file>